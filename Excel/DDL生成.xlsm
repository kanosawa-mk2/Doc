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270" yWindow="-90" windowWidth="15810" windowHeight="12330" tabRatio="795"/>
  </bookViews>
  <sheets>
    <sheet name="Top" sheetId="1" r:id="rId1"/>
    <sheet name="Template" sheetId="11" r:id="rId2"/>
    <sheet name="Settings" sheetId="14" r:id="rId3"/>
    <sheet name="Work" sheetId="15" r:id="rId4"/>
  </sheets>
  <definedNames>
    <definedName name="_xlnm.Print_Area" localSheetId="1">Template!#REF!</definedName>
    <definedName name="_xlnm.Print_Titles" localSheetId="1">Template!#REF!</definedName>
  </definedNames>
  <calcPr calcId="125725"/>
</workbook>
</file>

<file path=xl/calcChain.xml><?xml version="1.0" encoding="utf-8"?>
<calcChain xmlns="http://schemas.openxmlformats.org/spreadsheetml/2006/main">
  <c r="F3" i="14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H2"/>
  <c r="G2"/>
  <c r="F2"/>
</calcChain>
</file>

<file path=xl/sharedStrings.xml><?xml version="1.0" encoding="utf-8"?>
<sst xmlns="http://schemas.openxmlformats.org/spreadsheetml/2006/main" count="191" uniqueCount="140">
  <si>
    <t>INPUT</t>
    <phoneticPr fontId="1"/>
  </si>
  <si>
    <t>Column index = Progress</t>
    <phoneticPr fontId="1"/>
  </si>
  <si>
    <t>IN_R_IDX_HEADER</t>
    <phoneticPr fontId="1"/>
  </si>
  <si>
    <t>IN_C_IDX_GON</t>
    <phoneticPr fontId="1"/>
  </si>
  <si>
    <t>型</t>
    <rPh sb="0" eb="1">
      <t>カタ</t>
    </rPh>
    <phoneticPr fontId="1"/>
  </si>
  <si>
    <t>Integer</t>
    <phoneticPr fontId="1"/>
  </si>
  <si>
    <t>String</t>
    <phoneticPr fontId="1"/>
  </si>
  <si>
    <t>Column index = Global Opportunity: Name</t>
    <phoneticPr fontId="1"/>
  </si>
  <si>
    <t>Schedule period (Month)</t>
    <phoneticPr fontId="1"/>
  </si>
  <si>
    <t>IN_SKD_PERIOD_M</t>
    <phoneticPr fontId="1"/>
  </si>
  <si>
    <t>Row index = Header</t>
    <phoneticPr fontId="1"/>
  </si>
  <si>
    <t>Row index = Body Start</t>
    <phoneticPr fontId="1"/>
  </si>
  <si>
    <t>IN_R_IDX_BODY</t>
    <phoneticPr fontId="1"/>
  </si>
  <si>
    <t>Integer</t>
    <phoneticPr fontId="1"/>
  </si>
  <si>
    <t>IN_C_IDX_PRG</t>
    <phoneticPr fontId="1"/>
  </si>
  <si>
    <t>Column index = Schedule Start</t>
    <phoneticPr fontId="1"/>
  </si>
  <si>
    <t>Column index = Schedule End</t>
    <phoneticPr fontId="1"/>
  </si>
  <si>
    <t>IN_C_IDX_SKD_START</t>
    <phoneticPr fontId="1"/>
  </si>
  <si>
    <t>IN_C_IDX_SKD_END</t>
    <phoneticPr fontId="1"/>
  </si>
  <si>
    <t>New Book Sheet Name</t>
    <phoneticPr fontId="1"/>
  </si>
  <si>
    <t>OUT_BOOK_SHEET_NAME</t>
    <phoneticPr fontId="1"/>
  </si>
  <si>
    <t>SFDC Schedule</t>
    <phoneticPr fontId="1"/>
  </si>
  <si>
    <t>Sheet FreezePanes Cell</t>
    <phoneticPr fontId="1"/>
  </si>
  <si>
    <t>OUT_SHEET_FREEZEPANES_CELL</t>
    <phoneticPr fontId="1"/>
  </si>
  <si>
    <t>D8</t>
    <phoneticPr fontId="1"/>
  </si>
  <si>
    <t>説明</t>
    <rPh sb="0" eb="2">
      <t>セツメイ</t>
    </rPh>
    <phoneticPr fontId="1"/>
  </si>
  <si>
    <t>名前</t>
    <rPh sb="0" eb="2">
      <t>ナマエ</t>
    </rPh>
    <phoneticPr fontId="1"/>
  </si>
  <si>
    <t>値</t>
    <rPh sb="0" eb="1">
      <t>アタイ</t>
    </rPh>
    <phoneticPr fontId="1"/>
  </si>
  <si>
    <t>マクロテンプレート</t>
    <phoneticPr fontId="1"/>
  </si>
  <si>
    <t>Input file(path)</t>
    <phoneticPr fontId="1"/>
  </si>
  <si>
    <t>レベル</t>
  </si>
  <si>
    <t>血の遺志</t>
  </si>
  <si>
    <t>体力</t>
  </si>
  <si>
    <t>持久力</t>
  </si>
  <si>
    <t>筋力</t>
  </si>
  <si>
    <t>技術</t>
  </si>
  <si>
    <t>血質</t>
  </si>
  <si>
    <t>神秘</t>
  </si>
  <si>
    <t>特徴</t>
  </si>
  <si>
    <t>特筆なし</t>
  </si>
  <si>
    <t>平均的な能力値</t>
  </si>
  <si>
    <t>村の生き残り</t>
  </si>
  <si>
    <t>体力が高く、血質と神秘の合計値が低い。</t>
  </si>
  <si>
    <t>悲惨な幼年期</t>
  </si>
  <si>
    <t>持久力が最大値だが、筋力は最低値。また、体力も低め。</t>
  </si>
  <si>
    <t>暴力的過去</t>
  </si>
  <si>
    <t>筋力が最大値だが、技術が最低値。</t>
  </si>
  <si>
    <t>プロフェッショナル</t>
  </si>
  <si>
    <t>技術が最大値だが、筋力は最低値。</t>
  </si>
  <si>
    <t>従軍経験</t>
  </si>
  <si>
    <t>筋力と技術の合計値が高いが、神秘は最低値。</t>
  </si>
  <si>
    <t>一族の末裔</t>
  </si>
  <si>
    <t>血質が他の過去と比べて圧倒的に高いが、体力・持久力・筋力が最低値。</t>
  </si>
  <si>
    <t>過酷な運命</t>
  </si>
  <si>
    <t>神秘が他の過去と比べて圧倒的に高いが、技術と血質は最低値。</t>
  </si>
  <si>
    <t>生まれるべきではなかった</t>
  </si>
  <si>
    <t>他のクラスと比べて唯一レベルが4と低い。</t>
  </si>
  <si>
    <t>aaaaa</t>
    <phoneticPr fontId="1"/>
  </si>
  <si>
    <t>bbbb</t>
    <phoneticPr fontId="1"/>
  </si>
  <si>
    <t>C:\KUDOC\03_Develop\20170710_VFrame\DDL作成\010.テーブル定義書_IDR.xlsx</t>
    <phoneticPr fontId="1"/>
  </si>
  <si>
    <t>CREATE TABLE D_AJA001</t>
  </si>
  <si>
    <t>(</t>
  </si>
  <si>
    <t xml:space="preserve">    AJA_CRAT_TS                    TIMESTAMP(6) NOT NULL,</t>
  </si>
  <si>
    <t xml:space="preserve">    AJA_CRAT_USER_ID               VARCHAR2(10) NOT NULL,</t>
  </si>
  <si>
    <t xml:space="preserve">    AJA_CRAT_FUNC_ID               VARCHAR2(10) NOT NULL,</t>
  </si>
  <si>
    <t xml:space="preserve">    AJA_UPD_TS                     TIMESTAMP(6) NOT NULL,</t>
  </si>
  <si>
    <t xml:space="preserve">    AJA_UPD_USER_ID                VARCHAR2(10) NOT NULL,</t>
  </si>
  <si>
    <t xml:space="preserve">    AJA_UPD_FUNC_ID                VARCHAR2(10) NOT NULL,</t>
  </si>
  <si>
    <t xml:space="preserve">    AJA_INVLD_FLG                  NUMBER(1,0) NOT NULL,</t>
  </si>
  <si>
    <t xml:space="preserve">    BIZ_SYS_ID                     VARCHAR2(10) NOT NULL,</t>
  </si>
  <si>
    <t xml:space="preserve">    SLIP_ID                        VARCHAR2(19) NOT NULL,</t>
  </si>
  <si>
    <t xml:space="preserve">    APPL_ID                        VARCHAR2(19) NOT NULL,</t>
  </si>
  <si>
    <t xml:space="preserve">    APPL_USER_ID                   VARCHAR2(6),</t>
  </si>
  <si>
    <t xml:space="preserve">    APPL_USER_NM                   VARCHAR2(80),</t>
  </si>
  <si>
    <t xml:space="preserve">    APPL_DT                        DATE,</t>
  </si>
  <si>
    <t xml:space="preserve">    APPL_USER_CMPY_SHORT_NM        VARCHAR2(24),</t>
  </si>
  <si>
    <t xml:space="preserve">    APPL_USER_ORG_NM               VARCHAR2(160),</t>
  </si>
  <si>
    <t xml:space="preserve">    LAST_APVL_USER_ID              VARCHAR2(6),</t>
  </si>
  <si>
    <t xml:space="preserve">    LAST_APVL_USER_NM              VARCHAR2(80),</t>
  </si>
  <si>
    <t xml:space="preserve">    LAST_APVL_DT                   DATE,</t>
  </si>
  <si>
    <t xml:space="preserve">    LAST_APVL_CMPY_SHORT_NM        VARCHAR2(24),</t>
  </si>
  <si>
    <t xml:space="preserve">    LAST_APVL_ORG_NM               VARCHAR2(160),</t>
  </si>
  <si>
    <t xml:space="preserve">    APP_USER_CMPY_CD               VARCHAR2(6),</t>
  </si>
  <si>
    <t xml:space="preserve">    APP_USER_FIRST_ORG_CD          VARCHAR2(3),</t>
  </si>
  <si>
    <t xml:space="preserve">    APP_USER_SCD_ORG_CD            VARCHAR2(3),</t>
  </si>
  <si>
    <t xml:space="preserve">    APP_USER_THIRD_ORG_CD          VARCHAR2(10),</t>
  </si>
  <si>
    <t xml:space="preserve">    SKIP_FLG                       NUMBER(1,0) NOT NULL,</t>
  </si>
  <si>
    <t>DRAFT_USER_ID</t>
  </si>
  <si>
    <t>VARCHAR2(6),</t>
  </si>
  <si>
    <t>DRAFT_USER_NM</t>
  </si>
  <si>
    <t>VARCHAR2(80),</t>
  </si>
  <si>
    <t>DRAFT_USER_CMPY_CD</t>
  </si>
  <si>
    <t>DRAFT_USER_FIRST_ORG_CD</t>
  </si>
  <si>
    <t>VARCHAR2(3),</t>
  </si>
  <si>
    <t>DRAFT_USER_SCD_ORG_CD</t>
  </si>
  <si>
    <t>DRAFT_USER_THIRD_ORG_CD</t>
  </si>
  <si>
    <t>VARCHAR2(10),</t>
  </si>
  <si>
    <t>DRAFT_USER_CMPY_SHORT_NM</t>
  </si>
  <si>
    <t>VARCHAR2(24),</t>
  </si>
  <si>
    <t>DRAFT_USER_ORG_NM</t>
  </si>
  <si>
    <t>VARCHAR2(160),</t>
  </si>
  <si>
    <t xml:space="preserve">    CONSTRAINT D_AJA001_PK PRIMARY KEY (BIZ_SYS_ID, SLIP_ID, APPL_ID) USING INDEX</t>
  </si>
  <si>
    <t xml:space="preserve">        ENABLE</t>
  </si>
  <si>
    <t>)</t>
  </si>
  <si>
    <t>/</t>
  </si>
  <si>
    <t>COMMENT ON TABLE D_AJA001 IS '申請伝票'</t>
  </si>
  <si>
    <t>COMMENT ON COLUMN D_AJA001.AJA_CRAT_TS IS 'AJA_作成年月日時分秒'</t>
  </si>
  <si>
    <t>COMMENT ON COLUMN D_AJA001.AJA_CRAT_USER_ID IS 'AJA_作成者ID'</t>
  </si>
  <si>
    <t>COMMENT ON COLUMN D_AJA001.AJA_CRAT_FUNC_ID IS 'AJA_作成機能ID'</t>
  </si>
  <si>
    <t>COMMENT ON COLUMN D_AJA001.AJA_UPD_TS IS 'AJA_更新年月日時分秒'</t>
  </si>
  <si>
    <t>COMMENT ON COLUMN D_AJA001.AJA_UPD_USER_ID IS 'AJA_更新者ID'</t>
  </si>
  <si>
    <t>COMMENT ON COLUMN D_AJA001.AJA_UPD_FUNC_ID IS 'AJA_更新機能ID'</t>
  </si>
  <si>
    <t>COMMENT ON COLUMN D_AJA001.AJA_INVLD_FLG IS 'AJA_無効フラグ'</t>
  </si>
  <si>
    <t>COMMENT ON COLUMN D_AJA001.BIZ_SYS_ID IS '業務システムID'</t>
  </si>
  <si>
    <t>COMMENT ON COLUMN D_AJA001.SLIP_ID IS '伝票ID'</t>
  </si>
  <si>
    <t>COMMENT ON COLUMN D_AJA001.APPL_ID IS '申請書ID'</t>
  </si>
  <si>
    <t>COMMENT ON COLUMN D_AJA001.APPL_USER_ID IS '起案者ID'</t>
  </si>
  <si>
    <t>COMMENT ON COLUMN D_AJA001.APPL_USER_NM IS '起案者氏名'</t>
  </si>
  <si>
    <t>COMMENT ON COLUMN D_AJA001.APPL_DT IS '申請日'</t>
  </si>
  <si>
    <t>COMMENT ON COLUMN D_AJA001.APPL_USER_CMPY_SHORT_NM IS '起案者所属会社略称'</t>
  </si>
  <si>
    <t>COMMENT ON COLUMN D_AJA001.APPL_USER_ORG_NM IS '起案者所属部門名称'</t>
  </si>
  <si>
    <t>COMMENT ON COLUMN D_AJA001.LAST_APVL_USER_ID IS '最終承認者ID'</t>
  </si>
  <si>
    <t>COMMENT ON COLUMN D_AJA001.LAST_APVL_USER_NM IS '最終承認者名'</t>
  </si>
  <si>
    <t>COMMENT ON COLUMN D_AJA001.LAST_APVL_DT IS '最終承認日'</t>
  </si>
  <si>
    <t>COMMENT ON COLUMN D_AJA001.LAST_APVL_CMPY_SHORT_NM IS '最終承認者所属会社略称'</t>
  </si>
  <si>
    <t>COMMENT ON COLUMN D_AJA001.LAST_APVL_ORG_NM IS '最終承認者所属部門名称'</t>
  </si>
  <si>
    <t>COMMENT ON COLUMN D_AJA001.APP_USER_CMPY_CD IS '起案者会社コード'</t>
  </si>
  <si>
    <t>COMMENT ON COLUMN D_AJA001.APP_USER_FIRST_ORG_CD IS '起案者本部コード'</t>
  </si>
  <si>
    <t>COMMENT ON COLUMN D_AJA001.APP_USER_SCD_ORG_CD IS '起案者部コード'</t>
  </si>
  <si>
    <t>COMMENT ON COLUMN D_AJA001.APP_USER_THIRD_ORG_CD IS '起案者課コード'</t>
  </si>
  <si>
    <t>COMMENT ON COLUMN D_AJA001.SKIP_FLG IS '分岐フラグ'</t>
  </si>
  <si>
    <t>COMMENT ON COLUMN D_AJA001.DRAFT_USER_ID IS '申請者ID'</t>
  </si>
  <si>
    <t>COMMENT ON COLUMN D_AJA001.DRAFT_USER_NM IS '申請者名称'</t>
  </si>
  <si>
    <t>COMMENT ON COLUMN D_AJA001.DRAFT_USER_CMPY_CD IS '申請者会社コード'</t>
  </si>
  <si>
    <t>COMMENT ON COLUMN D_AJA001.DRAFT_USER_FIRST_ORG_CD IS '申請者本部コード'</t>
  </si>
  <si>
    <t>COMMENT ON COLUMN D_AJA001.DRAFT_USER_SCD_ORG_CD IS '申請者部コード'</t>
  </si>
  <si>
    <t>COMMENT ON COLUMN D_AJA001.DRAFT_USER_THIRD_ORG_CD IS '申請者課コード'</t>
  </si>
  <si>
    <t>COMMENT ON COLUMN D_AJA001.DRAFT_USER_CMPY_SHORT_NM IS '申請者所属会社略称'</t>
  </si>
  <si>
    <t>COMMENT ON COLUMN D_AJA001.DRAFT_USER_ORG_NM IS '申請者所属部門名称'</t>
  </si>
  <si>
    <t>CREATE INDEX ID_AJA001_01 ON D_AJA001(SLIP_ID)</t>
  </si>
</sst>
</file>

<file path=xl/styles.xml><?xml version="1.0" encoding="utf-8"?>
<styleSheet xmlns="http://schemas.openxmlformats.org/spreadsheetml/2006/main">
  <fonts count="1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20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b/>
      <sz val="20"/>
      <color theme="1"/>
      <name val="ＭＳ Ｐゴシック"/>
      <family val="3"/>
      <charset val="128"/>
      <scheme val="minor"/>
    </font>
    <font>
      <sz val="9"/>
      <color rgb="FFFFFFFF"/>
      <name val="Arial"/>
      <family val="2"/>
    </font>
    <font>
      <b/>
      <sz val="9"/>
      <color rgb="FF222222"/>
      <name val="Arial"/>
      <family val="2"/>
    </font>
    <font>
      <sz val="9"/>
      <color rgb="FFEEEEEE"/>
      <name val="Arial"/>
      <family val="2"/>
    </font>
    <font>
      <sz val="9"/>
      <color rgb="FFFF0000"/>
      <name val="Arial"/>
      <family val="2"/>
    </font>
    <font>
      <sz val="9"/>
      <color rgb="FF6666FF"/>
      <name val="Arial"/>
      <family val="2"/>
    </font>
    <font>
      <b/>
      <sz val="14"/>
      <color rgb="FF000000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33333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9">
    <xf numFmtId="0" fontId="0" fillId="0" borderId="0" xfId="0">
      <alignment vertical="center"/>
    </xf>
    <xf numFmtId="0" fontId="3" fillId="2" borderId="0" xfId="1" applyFont="1" applyFill="1" applyAlignment="1">
      <alignment vertical="center"/>
    </xf>
    <xf numFmtId="0" fontId="5" fillId="0" borderId="0" xfId="0" applyFont="1" applyBorder="1">
      <alignment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horizontal="left" vertical="center"/>
    </xf>
    <xf numFmtId="0" fontId="7" fillId="3" borderId="1" xfId="0" applyFont="1" applyFill="1" applyBorder="1">
      <alignment vertical="center"/>
    </xf>
    <xf numFmtId="0" fontId="8" fillId="0" borderId="0" xfId="0" applyFont="1">
      <alignment vertical="center"/>
    </xf>
    <xf numFmtId="0" fontId="0" fillId="4" borderId="1" xfId="0" applyFill="1" applyBorder="1">
      <alignment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Fill="1" applyBorder="1" applyAlignment="1">
      <alignment horizontal="left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vertical="center" wrapText="1"/>
    </xf>
    <xf numFmtId="0" fontId="12" fillId="7" borderId="2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 wrapText="1"/>
    </xf>
  </cellXfs>
  <cellStyles count="2">
    <cellStyle name="標準" xfId="0" builtinId="0"/>
    <cellStyle name="標準 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ExtSheetTop"/>
  <dimension ref="A1:C10"/>
  <sheetViews>
    <sheetView tabSelected="1" workbookViewId="0">
      <selection activeCell="C14" sqref="C14"/>
    </sheetView>
  </sheetViews>
  <sheetFormatPr defaultRowHeight="13.5"/>
  <cols>
    <col min="1" max="1" width="3.625" customWidth="1"/>
    <col min="2" max="2" width="29.75" customWidth="1"/>
    <col min="3" max="3" width="77.625" customWidth="1"/>
  </cols>
  <sheetData>
    <row r="1" spans="1:3" ht="33">
      <c r="A1" s="2" t="s">
        <v>28</v>
      </c>
    </row>
    <row r="2" spans="1:3" ht="24">
      <c r="A2" s="6"/>
    </row>
    <row r="3" spans="1:3" ht="24.95" customHeight="1">
      <c r="B3" s="2" t="s">
        <v>0</v>
      </c>
      <c r="C3" s="3"/>
    </row>
    <row r="4" spans="1:3" ht="20.100000000000001" customHeight="1">
      <c r="B4" s="5" t="s">
        <v>29</v>
      </c>
      <c r="C4" s="4" t="s">
        <v>59</v>
      </c>
    </row>
    <row r="5" spans="1:3" ht="20.100000000000001" customHeight="1">
      <c r="B5" s="5"/>
      <c r="C5" s="4"/>
    </row>
    <row r="6" spans="1:3" ht="20.100000000000001" customHeight="1">
      <c r="B6" s="5"/>
      <c r="C6" s="4"/>
    </row>
    <row r="7" spans="1:3" ht="20.100000000000001" customHeight="1">
      <c r="B7" s="5"/>
      <c r="C7" s="4"/>
    </row>
    <row r="8" spans="1:3" ht="20.100000000000001" customHeight="1">
      <c r="B8" s="5"/>
      <c r="C8" s="4"/>
    </row>
    <row r="9" spans="1:3" ht="20.100000000000001" customHeight="1">
      <c r="B9" s="5"/>
      <c r="C9" s="4"/>
    </row>
    <row r="10" spans="1:3" ht="20.100000000000001" customHeight="1">
      <c r="B10" s="5"/>
      <c r="C10" s="4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ExtSheetTemplate">
    <pageSetUpPr fitToPage="1"/>
  </sheetPr>
  <dimension ref="A1:F109"/>
  <sheetViews>
    <sheetView showGridLines="0" topLeftCell="A43" zoomScale="85" zoomScaleNormal="85" zoomScaleSheetLayoutView="55" workbookViewId="0">
      <selection activeCell="B28" sqref="B28"/>
    </sheetView>
  </sheetViews>
  <sheetFormatPr defaultColWidth="9" defaultRowHeight="13.5"/>
  <cols>
    <col min="2" max="2" width="46.25" style="1" customWidth="1"/>
    <col min="3" max="16384" width="9" style="1"/>
  </cols>
  <sheetData>
    <row r="1" spans="1:1">
      <c r="A1" t="s">
        <v>60</v>
      </c>
    </row>
    <row r="2" spans="1:1">
      <c r="A2" t="s">
        <v>61</v>
      </c>
    </row>
    <row r="3" spans="1:1">
      <c r="A3" t="s">
        <v>62</v>
      </c>
    </row>
    <row r="4" spans="1:1">
      <c r="A4" t="s">
        <v>63</v>
      </c>
    </row>
    <row r="5" spans="1:1">
      <c r="A5" t="s">
        <v>64</v>
      </c>
    </row>
    <row r="6" spans="1:1">
      <c r="A6" t="s">
        <v>65</v>
      </c>
    </row>
    <row r="7" spans="1:1">
      <c r="A7" t="s">
        <v>66</v>
      </c>
    </row>
    <row r="8" spans="1:1">
      <c r="A8" t="s">
        <v>67</v>
      </c>
    </row>
    <row r="9" spans="1:1">
      <c r="A9" t="s">
        <v>68</v>
      </c>
    </row>
    <row r="10" spans="1:1">
      <c r="A10" t="s">
        <v>69</v>
      </c>
    </row>
    <row r="11" spans="1:1">
      <c r="A11" t="s">
        <v>70</v>
      </c>
    </row>
    <row r="12" spans="1:1">
      <c r="A12" t="s">
        <v>71</v>
      </c>
    </row>
    <row r="13" spans="1:1">
      <c r="A13" t="s">
        <v>72</v>
      </c>
    </row>
    <row r="14" spans="1:1">
      <c r="A14" t="s">
        <v>73</v>
      </c>
    </row>
    <row r="15" spans="1:1">
      <c r="A15" t="s">
        <v>74</v>
      </c>
    </row>
    <row r="16" spans="1:1">
      <c r="A16" t="s">
        <v>75</v>
      </c>
    </row>
    <row r="17" spans="1:6">
      <c r="A17" t="s">
        <v>76</v>
      </c>
    </row>
    <row r="18" spans="1:6">
      <c r="A18" t="s">
        <v>77</v>
      </c>
    </row>
    <row r="19" spans="1:6">
      <c r="A19" t="s">
        <v>78</v>
      </c>
    </row>
    <row r="20" spans="1:6">
      <c r="A20" t="s">
        <v>79</v>
      </c>
    </row>
    <row r="21" spans="1:6">
      <c r="A21" t="s">
        <v>80</v>
      </c>
    </row>
    <row r="22" spans="1:6">
      <c r="A22" t="s">
        <v>81</v>
      </c>
    </row>
    <row r="23" spans="1:6">
      <c r="A23" t="s">
        <v>82</v>
      </c>
    </row>
    <row r="24" spans="1:6">
      <c r="A24" t="s">
        <v>83</v>
      </c>
    </row>
    <row r="25" spans="1:6">
      <c r="A25" t="s">
        <v>84</v>
      </c>
    </row>
    <row r="26" spans="1:6">
      <c r="A26" t="s">
        <v>85</v>
      </c>
    </row>
    <row r="27" spans="1:6">
      <c r="A27" t="s">
        <v>86</v>
      </c>
    </row>
    <row r="28" spans="1:6">
      <c r="B28" s="1" t="s">
        <v>87</v>
      </c>
      <c r="F28" s="1" t="s">
        <v>88</v>
      </c>
    </row>
    <row r="29" spans="1:6">
      <c r="B29" s="1" t="s">
        <v>89</v>
      </c>
      <c r="F29" s="1" t="s">
        <v>90</v>
      </c>
    </row>
    <row r="30" spans="1:6">
      <c r="B30" s="1" t="s">
        <v>91</v>
      </c>
      <c r="E30" s="1" t="s">
        <v>88</v>
      </c>
    </row>
    <row r="31" spans="1:6">
      <c r="B31" s="1" t="s">
        <v>92</v>
      </c>
      <c r="D31" s="1" t="s">
        <v>93</v>
      </c>
    </row>
    <row r="32" spans="1:6">
      <c r="B32" s="1" t="s">
        <v>94</v>
      </c>
      <c r="D32" s="1" t="s">
        <v>93</v>
      </c>
    </row>
    <row r="33" spans="1:5">
      <c r="B33" s="1" t="s">
        <v>95</v>
      </c>
      <c r="D33" s="1" t="s">
        <v>96</v>
      </c>
    </row>
    <row r="34" spans="1:5">
      <c r="B34" s="1" t="s">
        <v>97</v>
      </c>
      <c r="C34" s="1" t="s">
        <v>98</v>
      </c>
    </row>
    <row r="35" spans="1:5">
      <c r="B35" s="1" t="s">
        <v>99</v>
      </c>
      <c r="E35" s="1" t="s">
        <v>100</v>
      </c>
    </row>
    <row r="36" spans="1:5">
      <c r="A36" t="s">
        <v>101</v>
      </c>
    </row>
    <row r="37" spans="1:5">
      <c r="A37" t="s">
        <v>102</v>
      </c>
    </row>
    <row r="38" spans="1:5">
      <c r="A38" t="s">
        <v>103</v>
      </c>
    </row>
    <row r="39" spans="1:5">
      <c r="A39" t="s">
        <v>104</v>
      </c>
    </row>
    <row r="40" spans="1:5">
      <c r="A40" t="s">
        <v>105</v>
      </c>
    </row>
    <row r="41" spans="1:5">
      <c r="A41" t="s">
        <v>104</v>
      </c>
    </row>
    <row r="42" spans="1:5">
      <c r="A42" t="s">
        <v>106</v>
      </c>
    </row>
    <row r="43" spans="1:5">
      <c r="A43" t="s">
        <v>104</v>
      </c>
    </row>
    <row r="44" spans="1:5">
      <c r="A44" t="s">
        <v>107</v>
      </c>
    </row>
    <row r="45" spans="1:5">
      <c r="A45" t="s">
        <v>104</v>
      </c>
    </row>
    <row r="46" spans="1:5">
      <c r="A46" t="s">
        <v>108</v>
      </c>
    </row>
    <row r="47" spans="1:5">
      <c r="A47" t="s">
        <v>104</v>
      </c>
    </row>
    <row r="48" spans="1:5">
      <c r="A48" t="s">
        <v>109</v>
      </c>
    </row>
    <row r="49" spans="1:1">
      <c r="A49" t="s">
        <v>104</v>
      </c>
    </row>
    <row r="50" spans="1:1">
      <c r="A50" t="s">
        <v>110</v>
      </c>
    </row>
    <row r="51" spans="1:1">
      <c r="A51" t="s">
        <v>104</v>
      </c>
    </row>
    <row r="52" spans="1:1">
      <c r="A52" t="s">
        <v>111</v>
      </c>
    </row>
    <row r="53" spans="1:1">
      <c r="A53" t="s">
        <v>104</v>
      </c>
    </row>
    <row r="54" spans="1:1">
      <c r="A54" t="s">
        <v>112</v>
      </c>
    </row>
    <row r="55" spans="1:1">
      <c r="A55" t="s">
        <v>104</v>
      </c>
    </row>
    <row r="56" spans="1:1">
      <c r="A56" t="s">
        <v>113</v>
      </c>
    </row>
    <row r="57" spans="1:1">
      <c r="A57" t="s">
        <v>104</v>
      </c>
    </row>
    <row r="58" spans="1:1">
      <c r="A58" t="s">
        <v>114</v>
      </c>
    </row>
    <row r="59" spans="1:1">
      <c r="A59" t="s">
        <v>104</v>
      </c>
    </row>
    <row r="60" spans="1:1">
      <c r="A60" t="s">
        <v>115</v>
      </c>
    </row>
    <row r="61" spans="1:1">
      <c r="A61" t="s">
        <v>104</v>
      </c>
    </row>
    <row r="62" spans="1:1">
      <c r="A62" t="s">
        <v>116</v>
      </c>
    </row>
    <row r="63" spans="1:1">
      <c r="A63" t="s">
        <v>104</v>
      </c>
    </row>
    <row r="64" spans="1:1">
      <c r="A64" t="s">
        <v>117</v>
      </c>
    </row>
    <row r="65" spans="1:1">
      <c r="A65" t="s">
        <v>104</v>
      </c>
    </row>
    <row r="66" spans="1:1">
      <c r="A66" t="s">
        <v>118</v>
      </c>
    </row>
    <row r="67" spans="1:1">
      <c r="A67" t="s">
        <v>104</v>
      </c>
    </row>
    <row r="68" spans="1:1">
      <c r="A68" t="s">
        <v>119</v>
      </c>
    </row>
    <row r="69" spans="1:1">
      <c r="A69" t="s">
        <v>104</v>
      </c>
    </row>
    <row r="70" spans="1:1">
      <c r="A70" t="s">
        <v>120</v>
      </c>
    </row>
    <row r="71" spans="1:1">
      <c r="A71" t="s">
        <v>104</v>
      </c>
    </row>
    <row r="72" spans="1:1">
      <c r="A72" t="s">
        <v>121</v>
      </c>
    </row>
    <row r="73" spans="1:1">
      <c r="A73" t="s">
        <v>104</v>
      </c>
    </row>
    <row r="74" spans="1:1">
      <c r="A74" t="s">
        <v>122</v>
      </c>
    </row>
    <row r="75" spans="1:1">
      <c r="A75" t="s">
        <v>104</v>
      </c>
    </row>
    <row r="76" spans="1:1">
      <c r="A76" t="s">
        <v>123</v>
      </c>
    </row>
    <row r="77" spans="1:1">
      <c r="A77" t="s">
        <v>104</v>
      </c>
    </row>
    <row r="78" spans="1:1">
      <c r="A78" t="s">
        <v>124</v>
      </c>
    </row>
    <row r="79" spans="1:1">
      <c r="A79" t="s">
        <v>104</v>
      </c>
    </row>
    <row r="80" spans="1:1">
      <c r="A80" t="s">
        <v>125</v>
      </c>
    </row>
    <row r="81" spans="1:1">
      <c r="A81" t="s">
        <v>104</v>
      </c>
    </row>
    <row r="82" spans="1:1">
      <c r="A82" t="s">
        <v>126</v>
      </c>
    </row>
    <row r="83" spans="1:1">
      <c r="A83" t="s">
        <v>104</v>
      </c>
    </row>
    <row r="84" spans="1:1">
      <c r="A84" t="s">
        <v>127</v>
      </c>
    </row>
    <row r="85" spans="1:1">
      <c r="A85" t="s">
        <v>104</v>
      </c>
    </row>
    <row r="86" spans="1:1">
      <c r="A86" t="s">
        <v>128</v>
      </c>
    </row>
    <row r="87" spans="1:1">
      <c r="A87" t="s">
        <v>104</v>
      </c>
    </row>
    <row r="88" spans="1:1">
      <c r="A88" t="s">
        <v>129</v>
      </c>
    </row>
    <row r="89" spans="1:1">
      <c r="A89" t="s">
        <v>104</v>
      </c>
    </row>
    <row r="90" spans="1:1">
      <c r="A90" t="s">
        <v>130</v>
      </c>
    </row>
    <row r="91" spans="1:1">
      <c r="A91" t="s">
        <v>104</v>
      </c>
    </row>
    <row r="92" spans="1:1">
      <c r="A92" t="s">
        <v>131</v>
      </c>
    </row>
    <row r="93" spans="1:1">
      <c r="A93" t="s">
        <v>104</v>
      </c>
    </row>
    <row r="94" spans="1:1">
      <c r="A94" t="s">
        <v>132</v>
      </c>
    </row>
    <row r="95" spans="1:1">
      <c r="A95" t="s">
        <v>104</v>
      </c>
    </row>
    <row r="96" spans="1:1">
      <c r="A96" t="s">
        <v>133</v>
      </c>
    </row>
    <row r="97" spans="1:1">
      <c r="A97" t="s">
        <v>104</v>
      </c>
    </row>
    <row r="98" spans="1:1">
      <c r="A98" t="s">
        <v>134</v>
      </c>
    </row>
    <row r="99" spans="1:1">
      <c r="A99" t="s">
        <v>104</v>
      </c>
    </row>
    <row r="100" spans="1:1">
      <c r="A100" t="s">
        <v>135</v>
      </c>
    </row>
    <row r="101" spans="1:1">
      <c r="A101" t="s">
        <v>104</v>
      </c>
    </row>
    <row r="102" spans="1:1">
      <c r="A102" t="s">
        <v>136</v>
      </c>
    </row>
    <row r="103" spans="1:1">
      <c r="A103" t="s">
        <v>104</v>
      </c>
    </row>
    <row r="104" spans="1:1">
      <c r="A104" t="s">
        <v>137</v>
      </c>
    </row>
    <row r="105" spans="1:1">
      <c r="A105" t="s">
        <v>104</v>
      </c>
    </row>
    <row r="106" spans="1:1">
      <c r="A106" t="s">
        <v>138</v>
      </c>
    </row>
    <row r="107" spans="1:1">
      <c r="A107" t="s">
        <v>104</v>
      </c>
    </row>
    <row r="108" spans="1:1">
      <c r="A108" t="s">
        <v>139</v>
      </c>
    </row>
    <row r="109" spans="1:1">
      <c r="A109" t="s">
        <v>104</v>
      </c>
    </row>
  </sheetData>
  <sheetProtection selectLockedCells="1" selectUnlockedCells="1"/>
  <phoneticPr fontId="1"/>
  <pageMargins left="0.19685039370078741" right="0.19685039370078741" top="0.39370078740157483" bottom="0.35433070866141736" header="0.19685039370078741" footer="0.19685039370078741"/>
  <pageSetup paperSize="8" scale="71" fitToHeight="2" orientation="landscape" verticalDpi="200" copies="3" r:id="rId1"/>
  <headerFooter alignWithMargins="0">
    <oddHeader>&amp;R&amp;D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ExtSheetSettings"/>
  <dimension ref="A1:H12"/>
  <sheetViews>
    <sheetView topLeftCell="B1" zoomScale="85" zoomScaleNormal="85" workbookViewId="0">
      <selection activeCell="H2" sqref="F2:H10"/>
    </sheetView>
  </sheetViews>
  <sheetFormatPr defaultRowHeight="13.5"/>
  <cols>
    <col min="1" max="1" width="52.25" bestFit="1" customWidth="1"/>
    <col min="2" max="2" width="27.375" bestFit="1" customWidth="1"/>
    <col min="3" max="3" width="14.625" bestFit="1" customWidth="1"/>
    <col min="4" max="4" width="11.375" customWidth="1"/>
    <col min="5" max="5" width="7.75" customWidth="1"/>
    <col min="6" max="6" width="11.5" customWidth="1"/>
    <col min="7" max="7" width="65.125" customWidth="1"/>
  </cols>
  <sheetData>
    <row r="1" spans="1:8">
      <c r="A1" s="7" t="s">
        <v>25</v>
      </c>
      <c r="B1" s="7" t="s">
        <v>26</v>
      </c>
      <c r="C1" s="7" t="s">
        <v>27</v>
      </c>
      <c r="D1" s="7" t="s">
        <v>4</v>
      </c>
    </row>
    <row r="2" spans="1:8">
      <c r="A2" s="9" t="s">
        <v>8</v>
      </c>
      <c r="B2" s="9" t="s">
        <v>9</v>
      </c>
      <c r="C2" s="10">
        <v>12</v>
      </c>
      <c r="D2" s="11" t="s">
        <v>13</v>
      </c>
      <c r="F2" t="str">
        <f>"Public Property Get "&amp;B2&amp;"() As " &amp; D2</f>
        <v>Public Property Get IN_SKD_PERIOD_M() As Integer</v>
      </c>
      <c r="G2" t="str">
        <f>"    "&amp; B2 &amp; "= sheet_settings_.Range(""" &amp; ADDRESS(ROW(),4,4) &amp; """).Value"</f>
        <v xml:space="preserve">    IN_SKD_PERIOD_M= sheet_settings_.Range("D2").Value</v>
      </c>
      <c r="H2" t="str">
        <f>"End Property"</f>
        <v>End Property</v>
      </c>
    </row>
    <row r="3" spans="1:8">
      <c r="A3" s="9" t="s">
        <v>19</v>
      </c>
      <c r="B3" s="9" t="s">
        <v>20</v>
      </c>
      <c r="C3" s="10" t="s">
        <v>21</v>
      </c>
      <c r="D3" s="11" t="s">
        <v>6</v>
      </c>
      <c r="F3" t="str">
        <f t="shared" ref="F3:F10" si="0">"Public Property Get "&amp;B3&amp;"() As " &amp; D3</f>
        <v>Public Property Get OUT_BOOK_SHEET_NAME() As String</v>
      </c>
      <c r="G3" t="str">
        <f t="shared" ref="G3:G10" si="1">"    "&amp; B3 &amp; "= sheet_settings_.Range(""" &amp; ADDRESS(ROW(),4,4) &amp; """).Value"</f>
        <v xml:space="preserve">    OUT_BOOK_SHEET_NAME= sheet_settings_.Range("D3").Value</v>
      </c>
      <c r="H3" t="str">
        <f t="shared" ref="H3:H10" si="2">"End Property"</f>
        <v>End Property</v>
      </c>
    </row>
    <row r="4" spans="1:8">
      <c r="A4" s="9" t="s">
        <v>22</v>
      </c>
      <c r="B4" s="9" t="s">
        <v>23</v>
      </c>
      <c r="C4" s="10" t="s">
        <v>24</v>
      </c>
      <c r="D4" s="11" t="s">
        <v>6</v>
      </c>
      <c r="F4" t="str">
        <f t="shared" si="0"/>
        <v>Public Property Get OUT_SHEET_FREEZEPANES_CELL() As String</v>
      </c>
      <c r="G4" t="str">
        <f t="shared" si="1"/>
        <v xml:space="preserve">    OUT_SHEET_FREEZEPANES_CELL= sheet_settings_.Range("D4").Value</v>
      </c>
      <c r="H4" t="str">
        <f t="shared" si="2"/>
        <v>End Property</v>
      </c>
    </row>
    <row r="5" spans="1:8">
      <c r="A5" s="9" t="s">
        <v>10</v>
      </c>
      <c r="B5" s="9" t="s">
        <v>2</v>
      </c>
      <c r="C5" s="10">
        <v>1</v>
      </c>
      <c r="D5" s="11" t="s">
        <v>5</v>
      </c>
      <c r="F5" t="str">
        <f t="shared" si="0"/>
        <v>Public Property Get IN_R_IDX_HEADER() As Integer</v>
      </c>
      <c r="G5" t="str">
        <f t="shared" si="1"/>
        <v xml:space="preserve">    IN_R_IDX_HEADER= sheet_settings_.Range("D5").Value</v>
      </c>
      <c r="H5" t="str">
        <f t="shared" si="2"/>
        <v>End Property</v>
      </c>
    </row>
    <row r="6" spans="1:8">
      <c r="A6" s="9" t="s">
        <v>11</v>
      </c>
      <c r="B6" s="9" t="s">
        <v>12</v>
      </c>
      <c r="C6" s="10">
        <v>2</v>
      </c>
      <c r="D6" s="11" t="s">
        <v>5</v>
      </c>
      <c r="F6" t="str">
        <f t="shared" si="0"/>
        <v>Public Property Get IN_R_IDX_BODY() As Integer</v>
      </c>
      <c r="G6" t="str">
        <f t="shared" si="1"/>
        <v xml:space="preserve">    IN_R_IDX_BODY= sheet_settings_.Range("D6").Value</v>
      </c>
      <c r="H6" t="str">
        <f t="shared" si="2"/>
        <v>End Property</v>
      </c>
    </row>
    <row r="7" spans="1:8">
      <c r="A7" s="9" t="s">
        <v>7</v>
      </c>
      <c r="B7" s="9" t="s">
        <v>3</v>
      </c>
      <c r="C7" s="10">
        <v>1</v>
      </c>
      <c r="D7" s="11" t="s">
        <v>5</v>
      </c>
      <c r="F7" t="str">
        <f t="shared" si="0"/>
        <v>Public Property Get IN_C_IDX_GON() As Integer</v>
      </c>
      <c r="G7" t="str">
        <f t="shared" si="1"/>
        <v xml:space="preserve">    IN_C_IDX_GON= sheet_settings_.Range("D7").Value</v>
      </c>
      <c r="H7" t="str">
        <f t="shared" si="2"/>
        <v>End Property</v>
      </c>
    </row>
    <row r="8" spans="1:8">
      <c r="A8" s="9" t="s">
        <v>1</v>
      </c>
      <c r="B8" s="9" t="s">
        <v>14</v>
      </c>
      <c r="C8" s="10">
        <v>2</v>
      </c>
      <c r="D8" s="11" t="s">
        <v>5</v>
      </c>
      <c r="F8" t="str">
        <f t="shared" si="0"/>
        <v>Public Property Get IN_C_IDX_PRG() As Integer</v>
      </c>
      <c r="G8" t="str">
        <f t="shared" si="1"/>
        <v xml:space="preserve">    IN_C_IDX_PRG= sheet_settings_.Range("D8").Value</v>
      </c>
      <c r="H8" t="str">
        <f t="shared" si="2"/>
        <v>End Property</v>
      </c>
    </row>
    <row r="9" spans="1:8">
      <c r="A9" s="9" t="s">
        <v>15</v>
      </c>
      <c r="B9" s="12" t="s">
        <v>17</v>
      </c>
      <c r="C9" s="10">
        <v>3</v>
      </c>
      <c r="D9" s="11" t="s">
        <v>5</v>
      </c>
      <c r="F9" t="str">
        <f t="shared" si="0"/>
        <v>Public Property Get IN_C_IDX_SKD_START() As Integer</v>
      </c>
      <c r="G9" t="str">
        <f t="shared" si="1"/>
        <v xml:space="preserve">    IN_C_IDX_SKD_START= sheet_settings_.Range("D9").Value</v>
      </c>
      <c r="H9" t="str">
        <f t="shared" si="2"/>
        <v>End Property</v>
      </c>
    </row>
    <row r="10" spans="1:8">
      <c r="A10" s="9" t="s">
        <v>16</v>
      </c>
      <c r="B10" s="12" t="s">
        <v>18</v>
      </c>
      <c r="C10" s="10">
        <v>10</v>
      </c>
      <c r="D10" s="11" t="s">
        <v>5</v>
      </c>
      <c r="F10" t="str">
        <f t="shared" si="0"/>
        <v>Public Property Get IN_C_IDX_SKD_END() As Integer</v>
      </c>
      <c r="G10" t="str">
        <f t="shared" si="1"/>
        <v xml:space="preserve">    IN_C_IDX_SKD_END= sheet_settings_.Range("D10").Value</v>
      </c>
      <c r="H10" t="str">
        <f t="shared" si="2"/>
        <v>End Property</v>
      </c>
    </row>
    <row r="12" spans="1:8">
      <c r="A12" s="8"/>
    </row>
  </sheetData>
  <phoneticPr fontId="1"/>
  <conditionalFormatting sqref="B2:B4">
    <cfRule type="duplicateValues" dxfId="1" priority="4"/>
  </conditionalFormatting>
  <conditionalFormatting sqref="B5:B10">
    <cfRule type="duplicateValues" dxfId="0" priority="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ExtSheetWork"/>
  <dimension ref="A1:J11"/>
  <sheetViews>
    <sheetView zoomScale="70" zoomScaleNormal="70" workbookViewId="0">
      <selection sqref="A1:J11"/>
    </sheetView>
  </sheetViews>
  <sheetFormatPr defaultRowHeight="13.5"/>
  <sheetData>
    <row r="1" spans="1:10" ht="14.25" thickBot="1">
      <c r="B1" s="13" t="s">
        <v>30</v>
      </c>
      <c r="C1" s="13" t="s">
        <v>31</v>
      </c>
      <c r="D1" s="13" t="s">
        <v>32</v>
      </c>
      <c r="E1" s="13" t="s">
        <v>33</v>
      </c>
      <c r="F1" s="13" t="s">
        <v>34</v>
      </c>
      <c r="G1" s="13" t="s">
        <v>35</v>
      </c>
      <c r="H1" s="13" t="s">
        <v>36</v>
      </c>
      <c r="I1" s="13" t="s">
        <v>37</v>
      </c>
      <c r="J1" s="13" t="s">
        <v>38</v>
      </c>
    </row>
    <row r="2" spans="1:10" ht="24.75" thickBot="1">
      <c r="A2" s="14" t="s">
        <v>39</v>
      </c>
      <c r="B2" s="15">
        <v>10</v>
      </c>
      <c r="C2" s="15">
        <v>300</v>
      </c>
      <c r="D2" s="15">
        <v>11</v>
      </c>
      <c r="E2" s="15">
        <v>10</v>
      </c>
      <c r="F2" s="15">
        <v>12</v>
      </c>
      <c r="G2" s="15">
        <v>10</v>
      </c>
      <c r="H2" s="15">
        <v>9</v>
      </c>
      <c r="I2" s="15">
        <v>8</v>
      </c>
      <c r="J2" s="16" t="s">
        <v>40</v>
      </c>
    </row>
    <row r="3" spans="1:10" ht="48.75" thickBot="1">
      <c r="A3" s="14" t="s">
        <v>41</v>
      </c>
      <c r="B3" s="15">
        <v>10</v>
      </c>
      <c r="C3" s="15">
        <v>420</v>
      </c>
      <c r="D3" s="17">
        <v>14</v>
      </c>
      <c r="E3" s="15">
        <v>11</v>
      </c>
      <c r="F3" s="15">
        <v>11</v>
      </c>
      <c r="G3" s="15">
        <v>10</v>
      </c>
      <c r="H3" s="15">
        <v>7</v>
      </c>
      <c r="I3" s="15">
        <v>7</v>
      </c>
      <c r="J3" s="16" t="s">
        <v>42</v>
      </c>
    </row>
    <row r="4" spans="1:10" ht="72.75" thickBot="1">
      <c r="A4" s="14" t="s">
        <v>43</v>
      </c>
      <c r="B4" s="15">
        <v>10</v>
      </c>
      <c r="C4" s="15">
        <v>360</v>
      </c>
      <c r="D4" s="15">
        <v>9</v>
      </c>
      <c r="E4" s="17">
        <v>14</v>
      </c>
      <c r="F4" s="18">
        <v>9</v>
      </c>
      <c r="G4" s="15">
        <v>13</v>
      </c>
      <c r="H4" s="15">
        <v>6</v>
      </c>
      <c r="I4" s="15">
        <v>9</v>
      </c>
      <c r="J4" s="16" t="s">
        <v>44</v>
      </c>
    </row>
    <row r="5" spans="1:10" ht="48.75" thickBot="1">
      <c r="A5" s="14" t="s">
        <v>45</v>
      </c>
      <c r="B5" s="15">
        <v>10</v>
      </c>
      <c r="C5" s="15">
        <v>180</v>
      </c>
      <c r="D5" s="15">
        <v>12</v>
      </c>
      <c r="E5" s="15">
        <v>11</v>
      </c>
      <c r="F5" s="17">
        <v>15</v>
      </c>
      <c r="G5" s="18">
        <v>9</v>
      </c>
      <c r="H5" s="15">
        <v>6</v>
      </c>
      <c r="I5" s="15">
        <v>7</v>
      </c>
      <c r="J5" s="16" t="s">
        <v>46</v>
      </c>
    </row>
    <row r="6" spans="1:10" ht="48.75" thickBot="1">
      <c r="A6" s="14" t="s">
        <v>47</v>
      </c>
      <c r="B6" s="15">
        <v>10</v>
      </c>
      <c r="C6" s="15">
        <v>240</v>
      </c>
      <c r="D6" s="15">
        <v>9</v>
      </c>
      <c r="E6" s="15">
        <v>12</v>
      </c>
      <c r="F6" s="18">
        <v>9</v>
      </c>
      <c r="G6" s="17">
        <v>15</v>
      </c>
      <c r="H6" s="15">
        <v>7</v>
      </c>
      <c r="I6" s="15">
        <v>8</v>
      </c>
      <c r="J6" s="16" t="s">
        <v>48</v>
      </c>
    </row>
    <row r="7" spans="1:10" ht="60.75" thickBot="1">
      <c r="A7" s="14" t="s">
        <v>49</v>
      </c>
      <c r="B7" s="15">
        <v>10</v>
      </c>
      <c r="C7" s="15">
        <v>320</v>
      </c>
      <c r="D7" s="15">
        <v>10</v>
      </c>
      <c r="E7" s="15">
        <v>10</v>
      </c>
      <c r="F7" s="15">
        <v>14</v>
      </c>
      <c r="G7" s="15">
        <v>13</v>
      </c>
      <c r="H7" s="15">
        <v>7</v>
      </c>
      <c r="I7" s="18">
        <v>6</v>
      </c>
      <c r="J7" s="16" t="s">
        <v>50</v>
      </c>
    </row>
    <row r="8" spans="1:10" ht="84.75" thickBot="1">
      <c r="A8" s="14" t="s">
        <v>51</v>
      </c>
      <c r="B8" s="15">
        <v>10</v>
      </c>
      <c r="C8" s="17">
        <v>540</v>
      </c>
      <c r="D8" s="18">
        <v>7</v>
      </c>
      <c r="E8" s="18">
        <v>8</v>
      </c>
      <c r="F8" s="18">
        <v>9</v>
      </c>
      <c r="G8" s="15">
        <v>13</v>
      </c>
      <c r="H8" s="17">
        <v>14</v>
      </c>
      <c r="I8" s="15">
        <v>9</v>
      </c>
      <c r="J8" s="16" t="s">
        <v>52</v>
      </c>
    </row>
    <row r="9" spans="1:10" ht="72.75" thickBot="1">
      <c r="A9" s="14" t="s">
        <v>53</v>
      </c>
      <c r="B9" s="15">
        <v>10</v>
      </c>
      <c r="C9" s="15">
        <v>500</v>
      </c>
      <c r="D9" s="15">
        <v>10</v>
      </c>
      <c r="E9" s="15">
        <v>12</v>
      </c>
      <c r="F9" s="15">
        <v>10</v>
      </c>
      <c r="G9" s="18">
        <v>9</v>
      </c>
      <c r="H9" s="18">
        <v>5</v>
      </c>
      <c r="I9" s="17">
        <v>14</v>
      </c>
      <c r="J9" s="16" t="s">
        <v>54</v>
      </c>
    </row>
    <row r="10" spans="1:10" ht="48.75" thickBot="1">
      <c r="A10" s="14" t="s">
        <v>55</v>
      </c>
      <c r="B10" s="18">
        <v>4</v>
      </c>
      <c r="C10" s="18">
        <v>10</v>
      </c>
      <c r="D10" s="15">
        <v>10</v>
      </c>
      <c r="E10" s="15">
        <v>9</v>
      </c>
      <c r="F10" s="15">
        <v>10</v>
      </c>
      <c r="G10" s="18">
        <v>9</v>
      </c>
      <c r="H10" s="15">
        <v>7</v>
      </c>
      <c r="I10" s="15">
        <v>9</v>
      </c>
      <c r="J10" s="16" t="s">
        <v>56</v>
      </c>
    </row>
    <row r="11" spans="1:10">
      <c r="A11" t="s">
        <v>57</v>
      </c>
      <c r="B11" t="s">
        <v>58</v>
      </c>
      <c r="C11" t="s">
        <v>57</v>
      </c>
      <c r="D11" t="s">
        <v>58</v>
      </c>
      <c r="E11" t="s">
        <v>57</v>
      </c>
      <c r="F11" t="s">
        <v>58</v>
      </c>
      <c r="G11" t="s">
        <v>57</v>
      </c>
      <c r="H11" t="s">
        <v>58</v>
      </c>
      <c r="I11" t="s">
        <v>57</v>
      </c>
      <c r="J11" t="s">
        <v>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Template</vt:lpstr>
      <vt:lpstr>Settings</vt:lpstr>
      <vt:lpstr>Work</vt:lpstr>
    </vt:vector>
  </TitlesOfParts>
  <Company>キヤノンマーケティングジャパングループ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内田　一光</dc:creator>
  <cp:lastModifiedBy>内田　一光</cp:lastModifiedBy>
  <dcterms:created xsi:type="dcterms:W3CDTF">2015-03-10T05:05:42Z</dcterms:created>
  <dcterms:modified xsi:type="dcterms:W3CDTF">2017-09-08T08:56:24Z</dcterms:modified>
</cp:coreProperties>
</file>